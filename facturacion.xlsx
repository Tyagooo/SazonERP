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46E621E-A98B-491C-8A15-871BC05E2682}" xr6:coauthVersionLast="47" xr6:coauthVersionMax="47" xr10:uidLastSave="{00000000-0000-0000-0000-000000000000}"/>
  <bookViews>
    <workbookView xWindow="-120" yWindow="-120" windowWidth="29040" windowHeight="15840" xr2:uid="{43CEAA9F-2BF8-4727-8AB3-7E3AED1D2C5E}"/>
  </bookViews>
  <sheets>
    <sheet name="Hoja1" sheetId="1" r:id="rId1"/>
    <sheet name="Clientes" sheetId="2" r:id="rId2"/>
    <sheet name="Productos" sheetId="3" r:id="rId3"/>
    <sheet name="Formas de pag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1" l="1"/>
  <c r="B39" i="1"/>
  <c r="E42" i="1"/>
  <c r="E40" i="1"/>
  <c r="E39" i="1"/>
  <c r="E38" i="1"/>
  <c r="E18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D19" i="1"/>
  <c r="E19" i="1" s="1"/>
  <c r="E37" i="1" s="1"/>
  <c r="D20" i="1"/>
  <c r="E20" i="1" s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18" i="1"/>
  <c r="C11" i="1"/>
  <c r="C12" i="1"/>
  <c r="C13" i="1"/>
  <c r="A18" i="1"/>
</calcChain>
</file>

<file path=xl/sharedStrings.xml><?xml version="1.0" encoding="utf-8"?>
<sst xmlns="http://schemas.openxmlformats.org/spreadsheetml/2006/main" count="82" uniqueCount="73">
  <si>
    <t>Mi razon social</t>
  </si>
  <si>
    <t>Direccion de negocio</t>
  </si>
  <si>
    <t>ID: 1983783762</t>
  </si>
  <si>
    <t>Bogota</t>
  </si>
  <si>
    <t>Telefono</t>
  </si>
  <si>
    <t>Hola@gmail.com</t>
  </si>
  <si>
    <t>25/05/2025</t>
  </si>
  <si>
    <t xml:space="preserve">Nombre cliente </t>
  </si>
  <si>
    <t xml:space="preserve">ID </t>
  </si>
  <si>
    <t>Direccion</t>
  </si>
  <si>
    <t>Ciudad</t>
  </si>
  <si>
    <t>Makkati cocina fusion</t>
  </si>
  <si>
    <t>Sushi bogota</t>
  </si>
  <si>
    <t>Cocina española</t>
  </si>
  <si>
    <t>Creeps</t>
  </si>
  <si>
    <t>Carrera 7 # 26-20</t>
  </si>
  <si>
    <t>Calle 26 # 69-76</t>
  </si>
  <si>
    <t>Avenida Chile (Calle 72) # 10-34</t>
  </si>
  <si>
    <t>Carrera 30 # 45-03</t>
  </si>
  <si>
    <t>Factura</t>
  </si>
  <si>
    <t>REFERENCIA</t>
  </si>
  <si>
    <t>UNIDADES</t>
  </si>
  <si>
    <t>PRECIO</t>
  </si>
  <si>
    <t>IMPORTE</t>
  </si>
  <si>
    <t>DESCRIPCION</t>
  </si>
  <si>
    <t>Producto</t>
  </si>
  <si>
    <t>Referencia</t>
  </si>
  <si>
    <t>Precio</t>
  </si>
  <si>
    <t>Milanesa</t>
  </si>
  <si>
    <t>Chicharron de pescado</t>
  </si>
  <si>
    <t>Arroz salteado</t>
  </si>
  <si>
    <t>Yakisoba</t>
  </si>
  <si>
    <t>Lomo de cerdo</t>
  </si>
  <si>
    <t>Punta de anca</t>
  </si>
  <si>
    <t>Churrasco</t>
  </si>
  <si>
    <t>Salmon</t>
  </si>
  <si>
    <t>Big Chorizo</t>
  </si>
  <si>
    <t>Baby beff</t>
  </si>
  <si>
    <t>Rib Eye</t>
  </si>
  <si>
    <t>Pechuga</t>
  </si>
  <si>
    <t>Langostinos</t>
  </si>
  <si>
    <t>Gyozas</t>
  </si>
  <si>
    <t>Majiña Acevichado</t>
  </si>
  <si>
    <t>Tempura</t>
  </si>
  <si>
    <t>Cevifusion</t>
  </si>
  <si>
    <t>Ceviche amazonico</t>
  </si>
  <si>
    <t>Ceviche Colombianos</t>
  </si>
  <si>
    <t>Antojo Cevichero</t>
  </si>
  <si>
    <t>Philadelphia</t>
  </si>
  <si>
    <t>California</t>
  </si>
  <si>
    <t>Coca-cola</t>
  </si>
  <si>
    <t>Agua</t>
  </si>
  <si>
    <t>Cuatro</t>
  </si>
  <si>
    <t xml:space="preserve">Jugo Natural </t>
  </si>
  <si>
    <t>Limonada de coco</t>
  </si>
  <si>
    <t>SUBTOTAL</t>
  </si>
  <si>
    <t>Descuento</t>
  </si>
  <si>
    <t>Base Imponible</t>
  </si>
  <si>
    <t>IVA</t>
  </si>
  <si>
    <t>TOTAL</t>
  </si>
  <si>
    <t>Forma de pago:</t>
  </si>
  <si>
    <t>Tipo</t>
  </si>
  <si>
    <t>Banco</t>
  </si>
  <si>
    <t>Cuenta</t>
  </si>
  <si>
    <t>Efectivo</t>
  </si>
  <si>
    <t>Tarjeta</t>
  </si>
  <si>
    <t>Transferencia bancaria</t>
  </si>
  <si>
    <t>Bancolombia</t>
  </si>
  <si>
    <t>Juan: 1234 1234 1234 1234</t>
  </si>
  <si>
    <t>Factura de venta conforme a la normativa vigente. Documento sujeto a los controles de la DIAN. No se permite la
 alteración del documento. Conserve este documento para efectos fiscales.</t>
  </si>
  <si>
    <t xml:space="preserve">  Factura Nº</t>
  </si>
  <si>
    <t xml:space="preserve">  Fecha</t>
  </si>
  <si>
    <t xml:space="preserve">  DATOS CLIENTE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</si>
</sst>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0000"/>
    <numFmt numFmtId="169" formatCode="0000"/>
    <numFmt numFmtId="171" formatCode="[$$-240A]\ #,##0.00"/>
    <numFmt numFmtId="172" formatCode="[$$-240A]\ #,##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0"/>
      <name val="Calibri"/>
      <family val="2"/>
      <scheme val="minor"/>
    </font>
    <font>
      <sz val="36"/>
      <color theme="4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theme="6" tint="0.79998168889431442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0" xfId="2"/>
    <xf numFmtId="0" fontId="3" fillId="0" borderId="0" xfId="0" applyFont="1"/>
    <xf numFmtId="164" fontId="0" fillId="2" borderId="0" xfId="0" applyNumberFormat="1" applyFill="1"/>
    <xf numFmtId="0" fontId="0" fillId="2" borderId="0" xfId="0" applyFill="1"/>
    <xf numFmtId="0" fontId="5" fillId="3" borderId="0" xfId="0" applyFont="1" applyFill="1"/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169" fontId="0" fillId="0" borderId="0" xfId="0" applyNumberFormat="1"/>
    <xf numFmtId="172" fontId="0" fillId="0" borderId="0" xfId="0" applyNumberFormat="1"/>
    <xf numFmtId="0" fontId="0" fillId="2" borderId="0" xfId="0" applyFill="1" applyBorder="1" applyAlignment="1"/>
    <xf numFmtId="0" fontId="0" fillId="2" borderId="0" xfId="0" applyFill="1" applyBorder="1"/>
    <xf numFmtId="0" fontId="0" fillId="2" borderId="0" xfId="0" applyFill="1" applyBorder="1" applyAlignment="1">
      <alignment horizontal="left"/>
    </xf>
    <xf numFmtId="0" fontId="0" fillId="4" borderId="0" xfId="0" applyFont="1" applyFill="1" applyBorder="1" applyAlignment="1">
      <alignment horizontal="left"/>
    </xf>
    <xf numFmtId="172" fontId="0" fillId="0" borderId="0" xfId="1" applyNumberFormat="1" applyFont="1"/>
    <xf numFmtId="0" fontId="8" fillId="0" borderId="0" xfId="0" applyFont="1"/>
    <xf numFmtId="172" fontId="8" fillId="0" borderId="0" xfId="0" applyNumberFormat="1" applyFont="1"/>
    <xf numFmtId="0" fontId="8" fillId="5" borderId="0" xfId="0" applyFont="1" applyFill="1"/>
    <xf numFmtId="172" fontId="8" fillId="5" borderId="0" xfId="0" applyNumberFormat="1" applyFont="1" applyFill="1"/>
    <xf numFmtId="9" fontId="8" fillId="5" borderId="0" xfId="0" applyNumberFormat="1" applyFont="1" applyFill="1"/>
    <xf numFmtId="172" fontId="8" fillId="2" borderId="0" xfId="0" applyNumberFormat="1" applyFont="1" applyFill="1"/>
    <xf numFmtId="171" fontId="8" fillId="2" borderId="0" xfId="0" applyNumberFormat="1" applyFont="1" applyFill="1"/>
    <xf numFmtId="172" fontId="9" fillId="2" borderId="0" xfId="0" applyNumberFormat="1" applyFont="1" applyFill="1"/>
    <xf numFmtId="0" fontId="2" fillId="3" borderId="0" xfId="0" applyFont="1" applyFill="1"/>
    <xf numFmtId="172" fontId="2" fillId="3" borderId="0" xfId="0" applyNumberFormat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3" borderId="0" xfId="0" applyFont="1" applyFill="1" applyAlignment="1">
      <alignment horizontal="left"/>
    </xf>
  </cellXfs>
  <cellStyles count="3">
    <cellStyle name="Hipervínculo" xfId="2" builtinId="8"/>
    <cellStyle name="Moneda" xfId="1" builtinId="4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72" formatCode="[$$-240A]\ #,##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[$$-240A]\ #,##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72" formatCode="[$$-240A]\ #,##0.000"/>
    </dxf>
    <dxf>
      <numFmt numFmtId="169" formatCode="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227702-3192-4967-AEFE-500B5FCC6613}" name="Tabla3" displayName="Tabla3" ref="A17:E33" totalsRowShown="0" headerRowDxfId="2">
  <autoFilter ref="A17:E33" xr:uid="{EF227702-3192-4967-AEFE-500B5FCC6613}"/>
  <tableColumns count="5">
    <tableColumn id="1" xr3:uid="{8365E288-69B7-40D8-96E1-E368610900DF}" name="REFERENCIA">
      <calculatedColumnFormula>IFERROR(VLOOKUP(B18,Tabla2[#Data],2,FALSE),"")</calculatedColumnFormula>
    </tableColumn>
    <tableColumn id="2" xr3:uid="{CA5375E3-3297-4134-B863-94F39DEE0292}" name="DESCRIPCION"/>
    <tableColumn id="3" xr3:uid="{9ACC56AD-4D7E-4436-BFA6-8572AB09899E}" name="UNIDADES"/>
    <tableColumn id="4" xr3:uid="{705DFC12-7341-45B8-AF3B-64D7FC75B974}" name="PRECIO" dataDxfId="3" dataCellStyle="Moneda">
      <calculatedColumnFormula>IFERROR(VLOOKUP(B18,Tabla2[#Data],3,FALSE),"")</calculatedColumnFormula>
    </tableColumn>
    <tableColumn id="5" xr3:uid="{0685CF60-D657-441F-8550-925503CAEADF}" name="IMPORTE" dataDxfId="1">
      <calculatedColumnFormula>IFERROR(C18*D18,"")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3571C-C575-4BD8-B026-2036A1B0815E}" name="Tabla1" displayName="Tabla1" ref="A1:D5" totalsRowShown="0">
  <autoFilter ref="A1:D5" xr:uid="{90B3571C-C575-4BD8-B026-2036A1B0815E}"/>
  <tableColumns count="4">
    <tableColumn id="1" xr3:uid="{1BD10867-4DE8-44EA-BC32-48AD0DCFB859}" name="Nombre cliente "/>
    <tableColumn id="2" xr3:uid="{CDAB8792-D773-4D7F-A82C-403E6178455F}" name="ID "/>
    <tableColumn id="3" xr3:uid="{C32D7040-BC2C-4DC5-B2A3-34AC5C1D9010}" name="Direccion"/>
    <tableColumn id="4" xr3:uid="{1A86CBCA-233D-4C94-9839-7846173ABA55}" name="Ciudad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CD661B-1DA4-4530-A68C-7FD4F25FC6A4}" name="Tabla2" displayName="Tabla2" ref="A1:C28" totalsRowShown="0" headerRowDxfId="4">
  <autoFilter ref="A1:C28" xr:uid="{B6CD661B-1DA4-4530-A68C-7FD4F25FC6A4}"/>
  <tableColumns count="3">
    <tableColumn id="1" xr3:uid="{0CF14E08-A9EF-4264-BA92-6779634C223C}" name="Producto"/>
    <tableColumn id="2" xr3:uid="{47ACEDF7-A6F1-4210-909C-41D74FB2CEEA}" name="Referencia" dataDxfId="6"/>
    <tableColumn id="3" xr3:uid="{BE3618F6-6098-473A-85C8-176277AB7288}" name="Precio" dataDxfId="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2D44CC-745C-45BB-A29C-E9B5A42A4C2D}" name="Tabla4" displayName="Tabla4" ref="A1:C4" totalsRowShown="0" headerRowDxfId="0">
  <autoFilter ref="A1:C4" xr:uid="{892D44CC-745C-45BB-A29C-E9B5A42A4C2D}"/>
  <tableColumns count="3">
    <tableColumn id="1" xr3:uid="{BE6ACEC7-128B-4D46-8A06-299E244FE483}" name="Tipo"/>
    <tableColumn id="2" xr3:uid="{167D6778-7177-45EA-B1D4-5632962EA0AC}" name="Banco"/>
    <tableColumn id="3" xr3:uid="{52A627E4-0989-4D51-A7A0-C043F1C884FD}" name="Cuent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l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455D-65C2-417F-850C-FE5E2F0D7166}">
  <dimension ref="A4:E52"/>
  <sheetViews>
    <sheetView tabSelected="1" zoomScale="80" zoomScaleNormal="80" workbookViewId="0">
      <selection activeCell="I7" sqref="I7"/>
    </sheetView>
  </sheetViews>
  <sheetFormatPr baseColWidth="10" defaultRowHeight="15" x14ac:dyDescent="0.25"/>
  <cols>
    <col min="1" max="1" width="14.85546875" bestFit="1" customWidth="1"/>
    <col min="2" max="2" width="48" customWidth="1"/>
    <col min="3" max="3" width="20.140625" bestFit="1" customWidth="1"/>
    <col min="4" max="4" width="10.7109375" bestFit="1" customWidth="1"/>
  </cols>
  <sheetData>
    <row r="4" spans="2:5" ht="46.5" x14ac:dyDescent="0.7">
      <c r="B4" s="6" t="s">
        <v>19</v>
      </c>
    </row>
    <row r="6" spans="2:5" x14ac:dyDescent="0.25">
      <c r="B6" s="2" t="s">
        <v>0</v>
      </c>
      <c r="C6" s="28" t="s">
        <v>70</v>
      </c>
      <c r="D6" s="3">
        <v>1</v>
      </c>
    </row>
    <row r="7" spans="2:5" x14ac:dyDescent="0.25">
      <c r="B7" s="2" t="s">
        <v>2</v>
      </c>
      <c r="C7" s="28" t="s">
        <v>71</v>
      </c>
      <c r="D7" s="4" t="s">
        <v>6</v>
      </c>
    </row>
    <row r="8" spans="2:5" x14ac:dyDescent="0.25">
      <c r="B8" t="s">
        <v>1</v>
      </c>
    </row>
    <row r="9" spans="2:5" x14ac:dyDescent="0.25">
      <c r="B9" t="s">
        <v>3</v>
      </c>
      <c r="C9" s="7" t="s">
        <v>72</v>
      </c>
      <c r="D9" s="5"/>
      <c r="E9" s="5"/>
    </row>
    <row r="10" spans="2:5" x14ac:dyDescent="0.25">
      <c r="B10" t="s">
        <v>4</v>
      </c>
      <c r="C10" s="13" t="s">
        <v>11</v>
      </c>
      <c r="D10" s="11"/>
      <c r="E10" s="11"/>
    </row>
    <row r="11" spans="2:5" x14ac:dyDescent="0.25">
      <c r="B11" s="1" t="s">
        <v>5</v>
      </c>
      <c r="C11" s="14">
        <f>IFERROR(VLOOKUP(C10,Tabla1[],2,FALSE),"")</f>
        <v>221343553</v>
      </c>
      <c r="D11" s="12"/>
      <c r="E11" s="12"/>
    </row>
    <row r="12" spans="2:5" x14ac:dyDescent="0.25">
      <c r="C12" s="14" t="str">
        <f>IFERROR(VLOOKUP(C10,Tabla1[],3,FALSE),"")</f>
        <v>Carrera 7 # 26-20</v>
      </c>
      <c r="D12" s="12"/>
      <c r="E12" s="12"/>
    </row>
    <row r="13" spans="2:5" x14ac:dyDescent="0.25">
      <c r="C13" s="14" t="str">
        <f>IFERROR(VLOOKUP(C10,Tabla1[],4,FALSE),"")</f>
        <v>Bogota</v>
      </c>
      <c r="D13" s="12"/>
      <c r="E13" s="12"/>
    </row>
    <row r="17" spans="1:5" x14ac:dyDescent="0.25">
      <c r="A17" s="8" t="s">
        <v>20</v>
      </c>
      <c r="B17" s="7" t="s">
        <v>24</v>
      </c>
      <c r="C17" s="8" t="s">
        <v>21</v>
      </c>
      <c r="D17" s="8" t="s">
        <v>22</v>
      </c>
      <c r="E17" s="8" t="s">
        <v>23</v>
      </c>
    </row>
    <row r="18" spans="1:5" x14ac:dyDescent="0.25">
      <c r="A18">
        <f>IFERROR(VLOOKUP(B18,Tabla2[#Data],2,FALSE),"")</f>
        <v>1</v>
      </c>
      <c r="B18" t="s">
        <v>28</v>
      </c>
      <c r="C18">
        <v>2</v>
      </c>
      <c r="D18" s="15">
        <f>IFERROR(VLOOKUP(B18,Tabla2[#Data],3,FALSE),"")</f>
        <v>25</v>
      </c>
      <c r="E18" s="10">
        <f t="shared" ref="E18:E33" si="0">IFERROR(C18*D18,"")</f>
        <v>50</v>
      </c>
    </row>
    <row r="19" spans="1:5" x14ac:dyDescent="0.25">
      <c r="A19">
        <f>IFERROR(VLOOKUP(B19,Tabla2[#Data],2,FALSE),"")</f>
        <v>5</v>
      </c>
      <c r="B19" t="s">
        <v>32</v>
      </c>
      <c r="C19">
        <v>5</v>
      </c>
      <c r="D19" s="15">
        <f>IFERROR(VLOOKUP(B19,Tabla2[#Data],3,FALSE),"")</f>
        <v>35.5</v>
      </c>
      <c r="E19" s="10">
        <f t="shared" si="0"/>
        <v>177.5</v>
      </c>
    </row>
    <row r="20" spans="1:5" x14ac:dyDescent="0.25">
      <c r="A20">
        <f>IFERROR(VLOOKUP(B20,Tabla2[#Data],2,FALSE),"")</f>
        <v>5</v>
      </c>
      <c r="B20" t="s">
        <v>32</v>
      </c>
      <c r="D20" s="15">
        <f>IFERROR(VLOOKUP(B20,Tabla2[#Data],3,FALSE),"")</f>
        <v>35.5</v>
      </c>
      <c r="E20" s="10">
        <f t="shared" si="0"/>
        <v>0</v>
      </c>
    </row>
    <row r="21" spans="1:5" x14ac:dyDescent="0.25">
      <c r="A21" t="str">
        <f>IFERROR(VLOOKUP(B21,Tabla2[#Data],2,FALSE),"")</f>
        <v/>
      </c>
      <c r="D21" s="15" t="str">
        <f>IFERROR(VLOOKUP(B21,Tabla2[#Data],3,FALSE),"")</f>
        <v/>
      </c>
      <c r="E21" s="10" t="str">
        <f t="shared" si="0"/>
        <v/>
      </c>
    </row>
    <row r="22" spans="1:5" x14ac:dyDescent="0.25">
      <c r="A22" t="str">
        <f>IFERROR(VLOOKUP(B22,Tabla2[#Data],2,FALSE),"")</f>
        <v/>
      </c>
      <c r="D22" s="15" t="str">
        <f>IFERROR(VLOOKUP(B22,Tabla2[#Data],3,FALSE),"")</f>
        <v/>
      </c>
      <c r="E22" s="10" t="str">
        <f t="shared" si="0"/>
        <v/>
      </c>
    </row>
    <row r="23" spans="1:5" x14ac:dyDescent="0.25">
      <c r="A23" t="str">
        <f>IFERROR(VLOOKUP(B23,Tabla2[#Data],2,FALSE),"")</f>
        <v/>
      </c>
      <c r="D23" s="15" t="str">
        <f>IFERROR(VLOOKUP(B23,Tabla2[#Data],3,FALSE),"")</f>
        <v/>
      </c>
      <c r="E23" s="10" t="str">
        <f t="shared" si="0"/>
        <v/>
      </c>
    </row>
    <row r="24" spans="1:5" x14ac:dyDescent="0.25">
      <c r="A24" t="str">
        <f>IFERROR(VLOOKUP(B24,Tabla2[#Data],2,FALSE),"")</f>
        <v/>
      </c>
      <c r="D24" s="15" t="str">
        <f>IFERROR(VLOOKUP(B24,Tabla2[#Data],3,FALSE),"")</f>
        <v/>
      </c>
      <c r="E24" s="10" t="str">
        <f t="shared" si="0"/>
        <v/>
      </c>
    </row>
    <row r="25" spans="1:5" x14ac:dyDescent="0.25">
      <c r="A25" t="str">
        <f>IFERROR(VLOOKUP(B25,Tabla2[#Data],2,FALSE),"")</f>
        <v/>
      </c>
      <c r="D25" s="15" t="str">
        <f>IFERROR(VLOOKUP(B25,Tabla2[#Data],3,FALSE),"")</f>
        <v/>
      </c>
      <c r="E25" s="10" t="str">
        <f t="shared" si="0"/>
        <v/>
      </c>
    </row>
    <row r="26" spans="1:5" x14ac:dyDescent="0.25">
      <c r="A26" t="str">
        <f>IFERROR(VLOOKUP(B26,Tabla2[#Data],2,FALSE),"")</f>
        <v/>
      </c>
      <c r="D26" s="15" t="str">
        <f>IFERROR(VLOOKUP(B26,Tabla2[#Data],3,FALSE),"")</f>
        <v/>
      </c>
      <c r="E26" s="10" t="str">
        <f t="shared" si="0"/>
        <v/>
      </c>
    </row>
    <row r="27" spans="1:5" x14ac:dyDescent="0.25">
      <c r="A27" t="str">
        <f>IFERROR(VLOOKUP(B27,Tabla2[#Data],2,FALSE),"")</f>
        <v/>
      </c>
      <c r="D27" s="15" t="str">
        <f>IFERROR(VLOOKUP(B27,Tabla2[#Data],3,FALSE),"")</f>
        <v/>
      </c>
      <c r="E27" s="10" t="str">
        <f t="shared" si="0"/>
        <v/>
      </c>
    </row>
    <row r="28" spans="1:5" x14ac:dyDescent="0.25">
      <c r="A28" t="str">
        <f>IFERROR(VLOOKUP(B28,Tabla2[#Data],2,FALSE),"")</f>
        <v/>
      </c>
      <c r="D28" s="15" t="str">
        <f>IFERROR(VLOOKUP(B28,Tabla2[#Data],3,FALSE),"")</f>
        <v/>
      </c>
      <c r="E28" s="10" t="str">
        <f t="shared" si="0"/>
        <v/>
      </c>
    </row>
    <row r="29" spans="1:5" x14ac:dyDescent="0.25">
      <c r="A29" t="str">
        <f>IFERROR(VLOOKUP(B29,Tabla2[#Data],2,FALSE),"")</f>
        <v/>
      </c>
      <c r="D29" s="15" t="str">
        <f>IFERROR(VLOOKUP(B29,Tabla2[#Data],3,FALSE),"")</f>
        <v/>
      </c>
      <c r="E29" s="10" t="str">
        <f t="shared" si="0"/>
        <v/>
      </c>
    </row>
    <row r="30" spans="1:5" x14ac:dyDescent="0.25">
      <c r="A30" t="str">
        <f>IFERROR(VLOOKUP(B30,Tabla2[#Data],2,FALSE),"")</f>
        <v/>
      </c>
      <c r="D30" s="15" t="str">
        <f>IFERROR(VLOOKUP(B30,Tabla2[#Data],3,FALSE),"")</f>
        <v/>
      </c>
      <c r="E30" s="10" t="str">
        <f t="shared" si="0"/>
        <v/>
      </c>
    </row>
    <row r="31" spans="1:5" x14ac:dyDescent="0.25">
      <c r="A31" t="str">
        <f>IFERROR(VLOOKUP(B31,Tabla2[#Data],2,FALSE),"")</f>
        <v/>
      </c>
      <c r="D31" s="15" t="str">
        <f>IFERROR(VLOOKUP(B31,Tabla2[#Data],3,FALSE),"")</f>
        <v/>
      </c>
      <c r="E31" s="10" t="str">
        <f t="shared" si="0"/>
        <v/>
      </c>
    </row>
    <row r="32" spans="1:5" x14ac:dyDescent="0.25">
      <c r="A32" t="str">
        <f>IFERROR(VLOOKUP(B32,Tabla2[#Data],2,FALSE),"")</f>
        <v/>
      </c>
      <c r="D32" s="15" t="str">
        <f>IFERROR(VLOOKUP(B32,Tabla2[#Data],3,FALSE),"")</f>
        <v/>
      </c>
      <c r="E32" s="10" t="str">
        <f t="shared" si="0"/>
        <v/>
      </c>
    </row>
    <row r="33" spans="1:5" x14ac:dyDescent="0.25">
      <c r="A33" t="str">
        <f>IFERROR(VLOOKUP(B33,Tabla2[#Data],2,FALSE),"")</f>
        <v/>
      </c>
      <c r="D33" s="15" t="str">
        <f>IFERROR(VLOOKUP(B33,Tabla2[#Data],3,FALSE),"")</f>
        <v/>
      </c>
      <c r="E33" s="10" t="str">
        <f t="shared" si="0"/>
        <v/>
      </c>
    </row>
    <row r="34" spans="1:5" x14ac:dyDescent="0.25">
      <c r="D34" s="10"/>
    </row>
    <row r="35" spans="1:5" x14ac:dyDescent="0.25">
      <c r="D35" s="10"/>
    </row>
    <row r="36" spans="1:5" x14ac:dyDescent="0.25">
      <c r="D36" s="10"/>
    </row>
    <row r="37" spans="1:5" x14ac:dyDescent="0.25">
      <c r="A37" s="4"/>
      <c r="B37" s="4"/>
      <c r="C37" s="18" t="s">
        <v>55</v>
      </c>
      <c r="D37" s="19"/>
      <c r="E37" s="21">
        <f>SUM(Tabla3[IMPORTE])</f>
        <v>227.5</v>
      </c>
    </row>
    <row r="38" spans="1:5" x14ac:dyDescent="0.25">
      <c r="A38" s="4" t="s">
        <v>60</v>
      </c>
      <c r="B38" s="4" t="s">
        <v>66</v>
      </c>
      <c r="C38" s="18" t="s">
        <v>56</v>
      </c>
      <c r="D38" s="20">
        <v>0.1</v>
      </c>
      <c r="E38" s="22">
        <f>(-E37*D38)</f>
        <v>-22.75</v>
      </c>
    </row>
    <row r="39" spans="1:5" x14ac:dyDescent="0.25">
      <c r="A39" s="4"/>
      <c r="B39" s="4" t="str">
        <f>IF(VLOOKUP(B38,Tabla4[#All],2,FALSE)=0,"",VLOOKUP(B38,Tabla4[#All],2,FALSE))</f>
        <v>Bancolombia</v>
      </c>
      <c r="C39" s="18" t="s">
        <v>57</v>
      </c>
      <c r="D39" s="19"/>
      <c r="E39" s="23">
        <f>(E37+E38)</f>
        <v>204.75</v>
      </c>
    </row>
    <row r="40" spans="1:5" x14ac:dyDescent="0.25">
      <c r="A40" s="4"/>
      <c r="B40" s="4" t="str">
        <f>IF(VLOOKUP(B38,Tabla4[#All],3,FALSE)=0,"",VLOOKUP(B38,Tabla4[#All],3,FALSE))</f>
        <v>Juan: 1234 1234 1234 1234</v>
      </c>
      <c r="C40" s="18" t="s">
        <v>58</v>
      </c>
      <c r="D40" s="20">
        <v>0.21</v>
      </c>
      <c r="E40" s="23">
        <f>(E39*D40)</f>
        <v>42.997499999999995</v>
      </c>
    </row>
    <row r="41" spans="1:5" x14ac:dyDescent="0.25">
      <c r="A41" s="4"/>
      <c r="B41" s="4"/>
      <c r="C41" s="16"/>
      <c r="D41" s="17"/>
      <c r="E41" s="16"/>
    </row>
    <row r="42" spans="1:5" x14ac:dyDescent="0.25">
      <c r="A42" s="4"/>
      <c r="B42" s="4"/>
      <c r="C42" s="24" t="s">
        <v>59</v>
      </c>
      <c r="D42" s="25"/>
      <c r="E42" s="25">
        <f>E39+E40</f>
        <v>247.7475</v>
      </c>
    </row>
    <row r="43" spans="1:5" x14ac:dyDescent="0.25">
      <c r="D43" s="10"/>
    </row>
    <row r="44" spans="1:5" x14ac:dyDescent="0.25">
      <c r="A44" s="27" t="s">
        <v>69</v>
      </c>
      <c r="B44" s="26"/>
      <c r="C44" s="26"/>
      <c r="D44" s="26"/>
      <c r="E44" s="26"/>
    </row>
    <row r="45" spans="1:5" x14ac:dyDescent="0.25">
      <c r="A45" s="26"/>
      <c r="B45" s="26"/>
      <c r="C45" s="26"/>
      <c r="D45" s="26"/>
      <c r="E45" s="26"/>
    </row>
    <row r="46" spans="1:5" x14ac:dyDescent="0.25">
      <c r="D46" s="10"/>
    </row>
    <row r="47" spans="1:5" x14ac:dyDescent="0.25">
      <c r="D47" s="10"/>
    </row>
    <row r="48" spans="1:5" x14ac:dyDescent="0.25">
      <c r="D48" s="10"/>
    </row>
    <row r="49" spans="4:4" x14ac:dyDescent="0.25">
      <c r="D49" s="10"/>
    </row>
    <row r="50" spans="4:4" x14ac:dyDescent="0.25">
      <c r="D50" s="10"/>
    </row>
    <row r="51" spans="4:4" x14ac:dyDescent="0.25">
      <c r="D51" s="10"/>
    </row>
    <row r="52" spans="4:4" x14ac:dyDescent="0.25">
      <c r="D52" s="10"/>
    </row>
  </sheetData>
  <mergeCells count="1">
    <mergeCell ref="A44:E45"/>
  </mergeCells>
  <hyperlinks>
    <hyperlink ref="B11" r:id="rId1" xr:uid="{5E22465B-EACB-47F7-97C2-8EFE3F73D978}"/>
  </hyperlinks>
  <pageMargins left="0.7" right="0.7" top="0.75" bottom="0.75" header="0.3" footer="0.3"/>
  <pageSetup scale="86" orientation="portrait" horizontalDpi="360" verticalDpi="360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65BCE601-4941-49BC-B7B8-29D01E9DA895}">
          <x14:formula1>
            <xm:f>Clientes!$A$2:$A$5</xm:f>
          </x14:formula1>
          <xm:sqref>C10:E10</xm:sqref>
        </x14:dataValidation>
        <x14:dataValidation type="list" allowBlank="1" showInputMessage="1" showErrorMessage="1" xr:uid="{5C44FE03-7013-4C35-93B4-DC5EE5F812C9}">
          <x14:formula1>
            <xm:f>Productos!$A$2:$A$28</xm:f>
          </x14:formula1>
          <xm:sqref>B18:B33</xm:sqref>
        </x14:dataValidation>
        <x14:dataValidation type="list" allowBlank="1" showInputMessage="1" showErrorMessage="1" xr:uid="{15407D4D-34FE-4936-A0A4-5D9C245BE8D8}">
          <x14:formula1>
            <xm:f>'Formas de pago'!$A$2:$A$4</xm:f>
          </x14:formula1>
          <xm:sqref>B38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4675-6A26-4368-AB2E-45831199A923}">
  <dimension ref="A1:D5"/>
  <sheetViews>
    <sheetView workbookViewId="0">
      <selection activeCell="D2" sqref="D2"/>
    </sheetView>
  </sheetViews>
  <sheetFormatPr baseColWidth="10" defaultRowHeight="15" x14ac:dyDescent="0.25"/>
  <cols>
    <col min="1" max="1" width="20.140625" bestFit="1" customWidth="1"/>
    <col min="2" max="2" width="10" bestFit="1" customWidth="1"/>
    <col min="3" max="3" width="29" bestFit="1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11</v>
      </c>
      <c r="B2">
        <v>221343553</v>
      </c>
      <c r="C2" t="s">
        <v>15</v>
      </c>
      <c r="D2" t="s">
        <v>3</v>
      </c>
    </row>
    <row r="3" spans="1:4" x14ac:dyDescent="0.25">
      <c r="A3" t="s">
        <v>12</v>
      </c>
      <c r="B3">
        <v>423432432</v>
      </c>
      <c r="C3" t="s">
        <v>16</v>
      </c>
      <c r="D3" t="s">
        <v>3</v>
      </c>
    </row>
    <row r="4" spans="1:4" x14ac:dyDescent="0.25">
      <c r="A4" t="s">
        <v>13</v>
      </c>
      <c r="B4">
        <v>243654765</v>
      </c>
      <c r="C4" t="s">
        <v>17</v>
      </c>
      <c r="D4" t="s">
        <v>3</v>
      </c>
    </row>
    <row r="5" spans="1:4" x14ac:dyDescent="0.25">
      <c r="A5" t="s">
        <v>14</v>
      </c>
      <c r="B5">
        <v>786868653</v>
      </c>
      <c r="C5" t="s">
        <v>18</v>
      </c>
      <c r="D5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9202-2D86-4AC7-8B66-34E03CDA369A}">
  <dimension ref="A1:C28"/>
  <sheetViews>
    <sheetView workbookViewId="0">
      <selection activeCell="C38" sqref="C38"/>
    </sheetView>
  </sheetViews>
  <sheetFormatPr baseColWidth="10" defaultRowHeight="15" x14ac:dyDescent="0.25"/>
  <cols>
    <col min="1" max="1" width="21.28515625" bestFit="1" customWidth="1"/>
    <col min="2" max="2" width="12.7109375" customWidth="1"/>
  </cols>
  <sheetData>
    <row r="1" spans="1:3" x14ac:dyDescent="0.25">
      <c r="A1" s="2" t="s">
        <v>25</v>
      </c>
      <c r="B1" s="2" t="s">
        <v>26</v>
      </c>
      <c r="C1" s="2" t="s">
        <v>27</v>
      </c>
    </row>
    <row r="2" spans="1:3" x14ac:dyDescent="0.25">
      <c r="A2" t="s">
        <v>28</v>
      </c>
      <c r="B2" s="9">
        <v>1</v>
      </c>
      <c r="C2" s="10">
        <v>25</v>
      </c>
    </row>
    <row r="3" spans="1:3" x14ac:dyDescent="0.25">
      <c r="A3" t="s">
        <v>29</v>
      </c>
      <c r="B3" s="9">
        <v>2</v>
      </c>
      <c r="C3" s="10">
        <v>35</v>
      </c>
    </row>
    <row r="4" spans="1:3" x14ac:dyDescent="0.25">
      <c r="A4" t="s">
        <v>30</v>
      </c>
      <c r="B4" s="9">
        <v>3</v>
      </c>
      <c r="C4" s="10">
        <v>30</v>
      </c>
    </row>
    <row r="5" spans="1:3" x14ac:dyDescent="0.25">
      <c r="A5" t="s">
        <v>31</v>
      </c>
      <c r="B5" s="9">
        <v>4</v>
      </c>
      <c r="C5" s="10">
        <v>33</v>
      </c>
    </row>
    <row r="6" spans="1:3" x14ac:dyDescent="0.25">
      <c r="A6" t="s">
        <v>32</v>
      </c>
      <c r="B6" s="9">
        <v>5</v>
      </c>
      <c r="C6" s="10">
        <v>35.5</v>
      </c>
    </row>
    <row r="7" spans="1:3" x14ac:dyDescent="0.25">
      <c r="A7" t="s">
        <v>33</v>
      </c>
      <c r="B7" s="9">
        <v>6</v>
      </c>
      <c r="C7" s="10">
        <v>55</v>
      </c>
    </row>
    <row r="8" spans="1:3" x14ac:dyDescent="0.25">
      <c r="A8" t="s">
        <v>34</v>
      </c>
      <c r="B8" s="9">
        <v>7</v>
      </c>
      <c r="C8" s="10">
        <v>55</v>
      </c>
    </row>
    <row r="9" spans="1:3" x14ac:dyDescent="0.25">
      <c r="A9" t="s">
        <v>35</v>
      </c>
      <c r="B9" s="9">
        <v>8</v>
      </c>
      <c r="C9" s="10">
        <v>50</v>
      </c>
    </row>
    <row r="10" spans="1:3" x14ac:dyDescent="0.25">
      <c r="A10" t="s">
        <v>36</v>
      </c>
      <c r="B10" s="9">
        <v>9</v>
      </c>
      <c r="C10" s="10">
        <v>50</v>
      </c>
    </row>
    <row r="11" spans="1:3" x14ac:dyDescent="0.25">
      <c r="A11" t="s">
        <v>37</v>
      </c>
      <c r="B11" s="9">
        <v>10</v>
      </c>
      <c r="C11" s="10">
        <v>45</v>
      </c>
    </row>
    <row r="12" spans="1:3" x14ac:dyDescent="0.25">
      <c r="A12" t="s">
        <v>38</v>
      </c>
      <c r="B12" s="9">
        <v>11</v>
      </c>
      <c r="C12" s="10">
        <v>46.9</v>
      </c>
    </row>
    <row r="13" spans="1:3" x14ac:dyDescent="0.25">
      <c r="A13" t="s">
        <v>39</v>
      </c>
      <c r="B13" s="9">
        <v>12</v>
      </c>
      <c r="C13" s="10">
        <v>42</v>
      </c>
    </row>
    <row r="14" spans="1:3" x14ac:dyDescent="0.25">
      <c r="A14" t="s">
        <v>40</v>
      </c>
      <c r="B14" s="9">
        <v>13</v>
      </c>
      <c r="C14" s="10">
        <v>19</v>
      </c>
    </row>
    <row r="15" spans="1:3" x14ac:dyDescent="0.25">
      <c r="A15" t="s">
        <v>41</v>
      </c>
      <c r="B15" s="9">
        <v>14</v>
      </c>
      <c r="C15" s="10">
        <v>19</v>
      </c>
    </row>
    <row r="16" spans="1:3" x14ac:dyDescent="0.25">
      <c r="A16" t="s">
        <v>42</v>
      </c>
      <c r="B16" s="9">
        <v>15</v>
      </c>
      <c r="C16" s="10">
        <v>45</v>
      </c>
    </row>
    <row r="17" spans="1:3" x14ac:dyDescent="0.25">
      <c r="A17" t="s">
        <v>43</v>
      </c>
      <c r="B17" s="9">
        <v>16</v>
      </c>
      <c r="C17" s="10">
        <v>35</v>
      </c>
    </row>
    <row r="18" spans="1:3" x14ac:dyDescent="0.25">
      <c r="A18" t="s">
        <v>45</v>
      </c>
      <c r="B18" s="9">
        <v>17</v>
      </c>
      <c r="C18" s="10">
        <v>36</v>
      </c>
    </row>
    <row r="19" spans="1:3" x14ac:dyDescent="0.25">
      <c r="A19" t="s">
        <v>44</v>
      </c>
      <c r="B19" s="9">
        <v>18</v>
      </c>
      <c r="C19" s="10">
        <v>33</v>
      </c>
    </row>
    <row r="20" spans="1:3" x14ac:dyDescent="0.25">
      <c r="A20" t="s">
        <v>46</v>
      </c>
      <c r="B20" s="9">
        <v>19</v>
      </c>
      <c r="C20" s="10">
        <v>29</v>
      </c>
    </row>
    <row r="21" spans="1:3" x14ac:dyDescent="0.25">
      <c r="A21" t="s">
        <v>47</v>
      </c>
      <c r="B21" s="9">
        <v>20</v>
      </c>
      <c r="C21" s="10">
        <v>25</v>
      </c>
    </row>
    <row r="22" spans="1:3" x14ac:dyDescent="0.25">
      <c r="A22" t="s">
        <v>48</v>
      </c>
      <c r="B22" s="9">
        <v>21</v>
      </c>
      <c r="C22" s="10">
        <v>35</v>
      </c>
    </row>
    <row r="23" spans="1:3" x14ac:dyDescent="0.25">
      <c r="A23" t="s">
        <v>49</v>
      </c>
      <c r="B23" s="9">
        <v>22</v>
      </c>
      <c r="C23" s="10">
        <v>35</v>
      </c>
    </row>
    <row r="24" spans="1:3" x14ac:dyDescent="0.25">
      <c r="A24" t="s">
        <v>50</v>
      </c>
      <c r="B24" s="9">
        <v>23</v>
      </c>
      <c r="C24" s="10">
        <v>6</v>
      </c>
    </row>
    <row r="25" spans="1:3" x14ac:dyDescent="0.25">
      <c r="A25" t="s">
        <v>51</v>
      </c>
      <c r="B25" s="9">
        <v>24</v>
      </c>
      <c r="C25" s="10">
        <v>6</v>
      </c>
    </row>
    <row r="26" spans="1:3" x14ac:dyDescent="0.25">
      <c r="A26" t="s">
        <v>52</v>
      </c>
      <c r="B26" s="9">
        <v>25</v>
      </c>
      <c r="C26" s="10">
        <v>5</v>
      </c>
    </row>
    <row r="27" spans="1:3" x14ac:dyDescent="0.25">
      <c r="A27" t="s">
        <v>53</v>
      </c>
      <c r="B27" s="9">
        <v>26</v>
      </c>
      <c r="C27" s="10">
        <v>13</v>
      </c>
    </row>
    <row r="28" spans="1:3" x14ac:dyDescent="0.25">
      <c r="A28" t="s">
        <v>54</v>
      </c>
      <c r="B28" s="9">
        <v>27</v>
      </c>
      <c r="C28" s="10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6C42-6AA0-48A7-BC97-991AEE1FF1B7}">
  <dimension ref="A1:C4"/>
  <sheetViews>
    <sheetView workbookViewId="0">
      <selection activeCell="G9" sqref="G9"/>
    </sheetView>
  </sheetViews>
  <sheetFormatPr baseColWidth="10" defaultRowHeight="15" x14ac:dyDescent="0.25"/>
  <cols>
    <col min="1" max="1" width="21" bestFit="1" customWidth="1"/>
    <col min="2" max="2" width="12.42578125" bestFit="1" customWidth="1"/>
    <col min="3" max="3" width="23.5703125" bestFit="1" customWidth="1"/>
  </cols>
  <sheetData>
    <row r="1" spans="1:3" x14ac:dyDescent="0.25">
      <c r="A1" s="2" t="s">
        <v>61</v>
      </c>
      <c r="B1" s="2" t="s">
        <v>62</v>
      </c>
      <c r="C1" s="2" t="s">
        <v>63</v>
      </c>
    </row>
    <row r="2" spans="1:3" x14ac:dyDescent="0.25">
      <c r="A2" t="s">
        <v>64</v>
      </c>
    </row>
    <row r="3" spans="1:3" x14ac:dyDescent="0.25">
      <c r="A3" t="s">
        <v>65</v>
      </c>
    </row>
    <row r="4" spans="1:3" x14ac:dyDescent="0.25">
      <c r="A4" t="s">
        <v>66</v>
      </c>
      <c r="B4" t="s">
        <v>67</v>
      </c>
      <c r="C4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Clientes</vt:lpstr>
      <vt:lpstr>Productos</vt:lpstr>
      <vt:lpstr>Formas de 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2025-11-07T02:18:12Z</cp:lastPrinted>
  <dcterms:created xsi:type="dcterms:W3CDTF">2025-11-07T00:07:18Z</dcterms:created>
  <dcterms:modified xsi:type="dcterms:W3CDTF">2025-11-07T02:18:39Z</dcterms:modified>
</cp:coreProperties>
</file>